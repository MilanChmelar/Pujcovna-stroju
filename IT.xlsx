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268182\Desktop\¨Chmelař\"/>
    </mc:Choice>
  </mc:AlternateContent>
  <xr:revisionPtr revIDLastSave="0" documentId="13_ncr:1_{4B42D1A0-3501-424A-A37E-88E23BD6B529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Stroje" sheetId="1" r:id="rId1"/>
    <sheet name="Klienti" sheetId="4" r:id="rId2"/>
    <sheet name="Seznam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B7" i="3"/>
  <c r="B8" i="3" l="1"/>
</calcChain>
</file>

<file path=xl/sharedStrings.xml><?xml version="1.0" encoding="utf-8"?>
<sst xmlns="http://schemas.openxmlformats.org/spreadsheetml/2006/main" count="79" uniqueCount="66">
  <si>
    <t>Půjčovna</t>
  </si>
  <si>
    <t>ID stroje</t>
  </si>
  <si>
    <t>Název stroje</t>
  </si>
  <si>
    <t>Typ stroje</t>
  </si>
  <si>
    <t>Dostupnost</t>
  </si>
  <si>
    <t>Cena za den</t>
  </si>
  <si>
    <t>Bagr 4t BobCat</t>
  </si>
  <si>
    <t>Bagry</t>
  </si>
  <si>
    <t>Ano</t>
  </si>
  <si>
    <t>Bagr 8t</t>
  </si>
  <si>
    <t>NE</t>
  </si>
  <si>
    <t>Dumper kolový 9t</t>
  </si>
  <si>
    <t>Nakladače</t>
  </si>
  <si>
    <t>Dumper pásový 6t</t>
  </si>
  <si>
    <t>Dumper kolový 3t</t>
  </si>
  <si>
    <t>Smykový  nakladač BobCat S650</t>
  </si>
  <si>
    <t>Kloubový nakladač Wacker WL54</t>
  </si>
  <si>
    <t>Bourací kladivo 15kg</t>
  </si>
  <si>
    <t>Kladivo</t>
  </si>
  <si>
    <t>Ne</t>
  </si>
  <si>
    <t>Příkopový ježkový válec</t>
  </si>
  <si>
    <t>Vibrační technika</t>
  </si>
  <si>
    <t>Název firmy</t>
  </si>
  <si>
    <t>Adresa</t>
  </si>
  <si>
    <t>IČO</t>
  </si>
  <si>
    <t>Sleva (%)</t>
  </si>
  <si>
    <t>Kontaktní osoba</t>
  </si>
  <si>
    <t>E-mail</t>
  </si>
  <si>
    <t>Telefon</t>
  </si>
  <si>
    <t>Stavební firma Alfa s.r.o.</t>
  </si>
  <si>
    <t>Hlavní 12, Brno</t>
  </si>
  <si>
    <t>12345678</t>
  </si>
  <si>
    <t>Jan Novák</t>
  </si>
  <si>
    <t>jan.novak@alfa.cz</t>
  </si>
  <si>
    <t>+420601111111</t>
  </si>
  <si>
    <t>BauServis Beta a.s.</t>
  </si>
  <si>
    <t>Strojírenská 45, Praha</t>
  </si>
  <si>
    <t>87654321</t>
  </si>
  <si>
    <t>Petr Svoboda</t>
  </si>
  <si>
    <t>petr.svoboda@bauservis.cz</t>
  </si>
  <si>
    <t>+420602222222</t>
  </si>
  <si>
    <t>Výkop CZ s.r.o.</t>
  </si>
  <si>
    <t>Nádražní 3, Ostrava</t>
  </si>
  <si>
    <t>24681357</t>
  </si>
  <si>
    <t>Lucie Dvořáková</t>
  </si>
  <si>
    <t>lucie.dvorakova@vykop.cz</t>
  </si>
  <si>
    <t>+420603333333</t>
  </si>
  <si>
    <t>Montáže Gamma</t>
  </si>
  <si>
    <t>Dlouhá 88, Plzeň</t>
  </si>
  <si>
    <t>13572468</t>
  </si>
  <si>
    <t>Martin Král</t>
  </si>
  <si>
    <t>martin.kral@gamma.cz</t>
  </si>
  <si>
    <t>+420604444444</t>
  </si>
  <si>
    <t>DemoliTech</t>
  </si>
  <si>
    <t>Průmyslová 9, Olomouc</t>
  </si>
  <si>
    <t>98765432</t>
  </si>
  <si>
    <t>Eva Marešová</t>
  </si>
  <si>
    <t>eva.maresova@demolitec.cz</t>
  </si>
  <si>
    <t>+420605555555</t>
  </si>
  <si>
    <t>INTERAKTIVNÍ FORMULÁŘ PRO PŮJČOVNU STAVEBNÍCH STROJŮ</t>
  </si>
  <si>
    <t>Klient</t>
  </si>
  <si>
    <t>Stroj</t>
  </si>
  <si>
    <t>Počet dní:</t>
  </si>
  <si>
    <t>Cena za den:</t>
  </si>
  <si>
    <t>Sleva klienta (%):</t>
  </si>
  <si>
    <t>Celková cena: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</si>
</sst>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3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1" applyFo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numFmt numFmtId="13" formatCode="0%"/>
    </dxf>
    <dxf>
      <numFmt numFmtId="164" formatCode="#,##0.00\ &quot;Kč&quot;"/>
    </dxf>
    <dxf>
      <font>
        <b/>
      </font>
    </dxf>
    <dxf>
      <font>
        <b/>
      </font>
    </dxf>
    <dxf>
      <font>
        <b/>
      </font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lka1" displayName="Tabulka1" ref="A3:E12" totalsRowShown="0">
  <autoFilter ref="A3:E12" xr:uid="{00000000-0009-0000-0100-000001000000}"/>
  <tableColumns count="5">
    <tableColumn id="1" xr3:uid="{00000000-0010-0000-0000-000001000000}" name="ID stroje" dataDxfId="4"/>
    <tableColumn id="2" xr3:uid="{00000000-0010-0000-0000-000002000000}" name="Název stroje" dataDxfId="3"/>
    <tableColumn id="3" xr3:uid="{00000000-0010-0000-0000-000003000000}" name="Typ stroje" dataDxfId="2"/>
    <tableColumn id="4" xr3:uid="{00000000-0010-0000-0000-000004000000}" name="Dostupnost"/>
    <tableColumn id="5" xr3:uid="{00000000-0010-0000-0000-000005000000}" name="Cena za de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lientiTable" displayName="KlientiTable" ref="A1:G6">
  <autoFilter ref="A1:G6" xr:uid="{00000000-0009-0000-0100-000003000000}"/>
  <tableColumns count="7">
    <tableColumn id="1" xr3:uid="{00000000-0010-0000-0200-000001000000}" name="Název firmy"/>
    <tableColumn id="2" xr3:uid="{00000000-0010-0000-0200-000002000000}" name="Adresa"/>
    <tableColumn id="3" xr3:uid="{00000000-0010-0000-0200-000003000000}" name="IČO"/>
    <tableColumn id="4" xr3:uid="{00000000-0010-0000-0200-000004000000}" name="Sleva (%)" dataDxfId="0"/>
    <tableColumn id="5" xr3:uid="{00000000-0010-0000-0200-000005000000}" name="Kontaktní osoba"/>
    <tableColumn id="6" xr3:uid="{00000000-0010-0000-0200-000006000000}" name="E-mail"/>
    <tableColumn id="7" xr3:uid="{00000000-0010-0000-0200-000007000000}" name="Telef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3" sqref="E3"/>
    </sheetView>
  </sheetViews>
  <sheetFormatPr defaultRowHeight="14.25"/>
  <cols>
    <col min="1" max="1" width="10" customWidth="1"/>
    <col min="2" max="2" width="26" bestFit="1" customWidth="1"/>
    <col min="3" max="3" width="14.42578125" bestFit="1" customWidth="1"/>
    <col min="4" max="4" width="13.140625" bestFit="1" customWidth="1"/>
    <col min="5" max="5" width="13.85546875" bestFit="1" customWidth="1"/>
    <col min="6" max="6" width="14.42578125" bestFit="1" customWidth="1"/>
    <col min="7" max="7" width="14.28515625" bestFit="1" customWidth="1"/>
    <col min="8" max="8" width="14.42578125" bestFit="1" customWidth="1"/>
    <col min="9" max="9" width="18.42578125" bestFit="1" customWidth="1"/>
    <col min="10" max="12" width="12" customWidth="1"/>
  </cols>
  <sheetData>
    <row r="1" spans="1:5" ht="15" customHeight="1">
      <c r="A1" s="1" t="s">
        <v>0</v>
      </c>
    </row>
    <row r="3" spans="1:5" ht="15" customHeight="1">
      <c r="A3" s="1" t="s">
        <v>1</v>
      </c>
      <c r="B3" t="s">
        <v>2</v>
      </c>
      <c r="C3" t="s">
        <v>3</v>
      </c>
      <c r="D3" t="s">
        <v>4</v>
      </c>
      <c r="E3" s="2" t="s">
        <v>5</v>
      </c>
    </row>
    <row r="4" spans="1:5" ht="15" customHeight="1">
      <c r="A4" s="1">
        <v>1</v>
      </c>
      <c r="B4" s="1" t="s">
        <v>6</v>
      </c>
      <c r="C4" s="1" t="s">
        <v>7</v>
      </c>
      <c r="D4" t="s">
        <v>8</v>
      </c>
      <c r="E4" s="2">
        <v>850</v>
      </c>
    </row>
    <row r="5" spans="1:5" ht="15">
      <c r="A5" s="1">
        <v>2</v>
      </c>
      <c r="B5" s="1" t="s">
        <v>9</v>
      </c>
      <c r="C5" s="1" t="s">
        <v>7</v>
      </c>
      <c r="D5" t="s">
        <v>10</v>
      </c>
      <c r="E5" s="2">
        <v>900</v>
      </c>
    </row>
    <row r="6" spans="1:5" ht="15">
      <c r="A6" s="1">
        <v>3</v>
      </c>
      <c r="B6" s="1" t="s">
        <v>11</v>
      </c>
      <c r="C6" s="1" t="s">
        <v>12</v>
      </c>
      <c r="D6" t="s">
        <v>10</v>
      </c>
      <c r="E6" s="2">
        <v>750</v>
      </c>
    </row>
    <row r="7" spans="1:5" ht="15">
      <c r="A7" s="1">
        <v>4</v>
      </c>
      <c r="B7" s="1" t="s">
        <v>13</v>
      </c>
      <c r="C7" s="1" t="s">
        <v>12</v>
      </c>
      <c r="D7" t="s">
        <v>10</v>
      </c>
      <c r="E7" s="2">
        <v>700</v>
      </c>
    </row>
    <row r="8" spans="1:5" ht="15">
      <c r="A8" s="1">
        <v>5</v>
      </c>
      <c r="B8" s="1" t="s">
        <v>14</v>
      </c>
      <c r="C8" s="1" t="s">
        <v>12</v>
      </c>
      <c r="D8" t="s">
        <v>8</v>
      </c>
      <c r="E8" s="2">
        <v>450</v>
      </c>
    </row>
    <row r="9" spans="1:5" ht="15">
      <c r="A9" s="1">
        <v>6</v>
      </c>
      <c r="B9" s="1" t="s">
        <v>15</v>
      </c>
      <c r="C9" s="1" t="s">
        <v>12</v>
      </c>
      <c r="D9" t="s">
        <v>8</v>
      </c>
      <c r="E9" s="2">
        <v>780</v>
      </c>
    </row>
    <row r="10" spans="1:5" ht="15">
      <c r="A10" s="1">
        <v>7</v>
      </c>
      <c r="B10" s="1" t="s">
        <v>16</v>
      </c>
      <c r="C10" s="1" t="s">
        <v>12</v>
      </c>
      <c r="D10" t="s">
        <v>8</v>
      </c>
      <c r="E10" s="2">
        <v>950</v>
      </c>
    </row>
    <row r="11" spans="1:5" ht="15">
      <c r="A11" s="1">
        <v>8</v>
      </c>
      <c r="B11" s="1" t="s">
        <v>17</v>
      </c>
      <c r="C11" s="1" t="s">
        <v>18</v>
      </c>
      <c r="D11" t="s">
        <v>19</v>
      </c>
      <c r="E11" s="2">
        <v>400</v>
      </c>
    </row>
    <row r="12" spans="1:5" ht="15">
      <c r="A12" s="1">
        <v>9</v>
      </c>
      <c r="B12" s="1" t="s">
        <v>20</v>
      </c>
      <c r="C12" s="1" t="s">
        <v>21</v>
      </c>
      <c r="D12" t="s">
        <v>8</v>
      </c>
      <c r="E12" s="2">
        <v>700</v>
      </c>
    </row>
    <row r="13" spans="1:5" ht="15">
      <c r="A13" s="1"/>
      <c r="B13" s="1"/>
      <c r="E13" s="2"/>
    </row>
    <row r="14" spans="1:5" ht="15">
      <c r="A14" s="1"/>
      <c r="B14" s="1"/>
      <c r="E14" s="2"/>
    </row>
    <row r="15" spans="1:5" ht="15">
      <c r="A15" s="1"/>
      <c r="B15" s="1"/>
      <c r="E15" s="2"/>
    </row>
    <row r="16" spans="1:5" ht="15">
      <c r="A16" s="1"/>
      <c r="B16" s="1"/>
      <c r="E16" s="2"/>
    </row>
    <row r="17" spans="2:2" ht="15">
      <c r="B17" s="1"/>
    </row>
  </sheetData>
  <conditionalFormatting sqref="D3:D12">
    <cfRule type="containsText" dxfId="6" priority="1" operator="containsText" text="Ne">
      <formula>NOT(ISERROR(SEARCH("Ne",D3)))</formula>
    </cfRule>
    <cfRule type="containsText" dxfId="5" priority="2" operator="containsText" text="Ano">
      <formula>NOT(ISERROR(SEARCH("Ano",D3)))</formula>
    </cfRule>
  </conditionalFormatting>
  <pageMargins left="0.7" right="0.7" top="0.78740157499999996" bottom="0.78740157499999996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F20" sqref="F20"/>
    </sheetView>
  </sheetViews>
  <sheetFormatPr defaultRowHeight="14.25"/>
  <cols>
    <col min="1" max="1" width="28" customWidth="1"/>
    <col min="2" max="2" width="24" customWidth="1"/>
    <col min="3" max="5" width="12" customWidth="1"/>
    <col min="6" max="6" width="17" customWidth="1"/>
    <col min="7" max="7" width="27" customWidth="1"/>
    <col min="8" max="8" width="15" customWidth="1"/>
  </cols>
  <sheetData>
    <row r="1" spans="1:7">
      <c r="A1" t="s">
        <v>22</v>
      </c>
      <c r="B1" t="s">
        <v>23</v>
      </c>
      <c r="C1" t="s">
        <v>24</v>
      </c>
      <c r="D1" s="3" t="s">
        <v>25</v>
      </c>
      <c r="E1" t="s">
        <v>26</v>
      </c>
      <c r="F1" t="s">
        <v>27</v>
      </c>
      <c r="G1" t="s">
        <v>28</v>
      </c>
    </row>
    <row r="2" spans="1:7">
      <c r="A2" t="s">
        <v>29</v>
      </c>
      <c r="B2" t="s">
        <v>30</v>
      </c>
      <c r="C2" t="s">
        <v>31</v>
      </c>
      <c r="D2" s="3">
        <v>0.1</v>
      </c>
      <c r="E2" t="s">
        <v>32</v>
      </c>
      <c r="F2" t="s">
        <v>33</v>
      </c>
      <c r="G2" t="s">
        <v>34</v>
      </c>
    </row>
    <row r="3" spans="1:7">
      <c r="A3" t="s">
        <v>35</v>
      </c>
      <c r="B3" t="s">
        <v>36</v>
      </c>
      <c r="C3" t="s">
        <v>37</v>
      </c>
      <c r="D3" s="3">
        <v>0.05</v>
      </c>
      <c r="E3" t="s">
        <v>38</v>
      </c>
      <c r="F3" t="s">
        <v>39</v>
      </c>
      <c r="G3" t="s">
        <v>40</v>
      </c>
    </row>
    <row r="4" spans="1:7">
      <c r="A4" t="s">
        <v>41</v>
      </c>
      <c r="B4" t="s">
        <v>42</v>
      </c>
      <c r="C4" t="s">
        <v>43</v>
      </c>
      <c r="D4" s="3">
        <v>0.15</v>
      </c>
      <c r="E4" t="s">
        <v>44</v>
      </c>
      <c r="F4" t="s">
        <v>45</v>
      </c>
      <c r="G4" t="s">
        <v>46</v>
      </c>
    </row>
    <row r="5" spans="1:7">
      <c r="A5" t="s">
        <v>47</v>
      </c>
      <c r="B5" t="s">
        <v>48</v>
      </c>
      <c r="C5" t="s">
        <v>49</v>
      </c>
      <c r="D5" s="3">
        <v>0</v>
      </c>
      <c r="E5" t="s">
        <v>50</v>
      </c>
      <c r="F5" t="s">
        <v>51</v>
      </c>
      <c r="G5" t="s">
        <v>52</v>
      </c>
    </row>
    <row r="6" spans="1:7">
      <c r="A6" t="s">
        <v>53</v>
      </c>
      <c r="B6" t="s">
        <v>54</v>
      </c>
      <c r="C6" t="s">
        <v>55</v>
      </c>
      <c r="D6" s="3">
        <v>0.2</v>
      </c>
      <c r="E6" t="s">
        <v>56</v>
      </c>
      <c r="F6" t="s">
        <v>57</v>
      </c>
      <c r="G6" t="s">
        <v>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11" sqref="B11"/>
    </sheetView>
  </sheetViews>
  <sheetFormatPr defaultRowHeight="14.25"/>
  <cols>
    <col min="1" max="1" width="51.7109375" bestFit="1" customWidth="1"/>
    <col min="2" max="2" width="28.42578125" customWidth="1"/>
  </cols>
  <sheetData>
    <row r="1" spans="1:2" ht="15.75" thickBot="1">
      <c r="A1" s="4" t="s">
        <v>59</v>
      </c>
      <c r="B1" s="5"/>
    </row>
    <row r="2" spans="1:2" ht="15" thickBot="1">
      <c r="A2" s="5"/>
      <c r="B2" s="5"/>
    </row>
    <row r="3" spans="1:2" ht="15.75" thickBot="1">
      <c r="A3" s="4" t="s">
        <v>60</v>
      </c>
      <c r="B3" s="4" t="s">
        <v>29</v>
      </c>
    </row>
    <row r="4" spans="1:2" ht="15.75" thickBot="1">
      <c r="A4" s="4" t="s">
        <v>61</v>
      </c>
      <c r="B4" s="4" t="s">
        <v>15</v>
      </c>
    </row>
    <row r="5" spans="1:2" ht="15.75" thickBot="1">
      <c r="A5" s="4" t="s">
        <v>62</v>
      </c>
      <c r="B5" s="4">
        <v>8</v>
      </c>
    </row>
    <row r="6" spans="1:2" ht="15.75" thickBot="1">
      <c r="A6" s="4" t="s">
        <v>63</v>
      </c>
      <c r="B6" s="6">
        <f>VLOOKUP(B4,Stroje!B2:E12,4,FALSE)</f>
        <v>780</v>
      </c>
    </row>
    <row r="7" spans="1:2" ht="15.75" thickBot="1">
      <c r="A7" s="4" t="s">
        <v>64</v>
      </c>
      <c r="B7" s="7">
        <f>VLOOKUP(B3,Klienti!A2:E100,4,FALSE)</f>
        <v>0.1</v>
      </c>
    </row>
    <row r="8" spans="1:2" ht="15.75" thickBot="1">
      <c r="A8" s="4" t="s">
        <v>65</v>
      </c>
      <c r="B8" s="8">
        <f>B5*B6*(1-B7)</f>
        <v>5616</v>
      </c>
    </row>
  </sheetData>
  <pageMargins left="0.7" right="0.7" top="0.78740157499999996" bottom="0.78740157499999996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Klienti!$A$2:$A$6</xm:f>
          </x14:formula1>
          <xm:sqref>B3</xm:sqref>
        </x14:dataValidation>
        <x14:dataValidation type="list" allowBlank="1" showInputMessage="1" showErrorMessage="1" xr:uid="{A46D4348-094E-41B2-962A-07E4EF53FC33}">
          <x14:formula1>
            <xm:f>Stroje!$B$4:$B$12</xm:f>
          </x14:formula1>
          <xm:sqref>B4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93696-e9f9-4009-bf70-4d0258a16d4b">
      <Terms xmlns="http://schemas.microsoft.com/office/infopath/2007/PartnerControls"/>
    </lcf76f155ced4ddcb4097134ff3c332f>
    <TaxCatchAll xmlns="0af8399d-822b-484d-ac23-184efc97a995" xsi:nil="true"/>
    <info xmlns="45f93696-e9f9-4009-bf70-4d0258a16d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34787553EEC3458E5ACDBDD8AD6E18" ma:contentTypeVersion="12" ma:contentTypeDescription="Vytvoří nový dokument" ma:contentTypeScope="" ma:versionID="6d41af8af7675891ab4a877bbfd9a9c9">
  <xsd:schema xmlns:xsd="http://www.w3.org/2001/XMLSchema" xmlns:xs="http://www.w3.org/2001/XMLSchema" xmlns:p="http://schemas.microsoft.com/office/2006/metadata/properties" xmlns:ns2="45f93696-e9f9-4009-bf70-4d0258a16d4b" xmlns:ns3="0af8399d-822b-484d-ac23-184efc97a995" targetNamespace="http://schemas.microsoft.com/office/2006/metadata/properties" ma:root="true" ma:fieldsID="68e87549db27324caf7ae9cefb5fe9b6" ns2:_="" ns3:_="">
    <xsd:import namespace="45f93696-e9f9-4009-bf70-4d0258a16d4b"/>
    <xsd:import namespace="0af8399d-822b-484d-ac23-184efc97a9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93696-e9f9-4009-bf70-4d0258a16d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ddc0c66c-3bbb-45c0-81fe-e66ee927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nfo" ma:index="19" nillable="true" ma:displayName="info" ma:format="Dropdown" ma:internalName="inf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8399d-822b-484d-ac23-184efc97a9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088e7e-8c9a-46b0-8cac-38fb6cca23c6}" ma:internalName="TaxCatchAll" ma:showField="CatchAllData" ma:web="0af8399d-822b-484d-ac23-184efc97a9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6A5FFF-00F4-4BFE-B072-471E98FACDB0}"/>
</file>

<file path=customXml/itemProps2.xml><?xml version="1.0" encoding="utf-8"?>
<ds:datastoreItem xmlns:ds="http://schemas.openxmlformats.org/officeDocument/2006/customXml" ds:itemID="{6B9B724A-B819-438E-A3DF-FA80AE14CF6A}"/>
</file>

<file path=customXml/itemProps3.xml><?xml version="1.0" encoding="utf-8"?>
<ds:datastoreItem xmlns:ds="http://schemas.openxmlformats.org/officeDocument/2006/customXml" ds:itemID="{23E01256-8E4A-45BF-9368-0AF36E940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Chmelař Milan (268182)</dc:creator>
  <cp:keywords/>
  <dc:description/>
  <cp:lastModifiedBy>Chmelař Milan (268182)</cp:lastModifiedBy>
  <cp:revision/>
  <dcterms:created xsi:type="dcterms:W3CDTF">2025-10-29T07:17:33Z</dcterms:created>
  <dcterms:modified xsi:type="dcterms:W3CDTF">2025-10-29T18:04:08Z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0x0101003134787553EEC3458E5ACDBDD8AD6E18</vt:lpwstr>
  </property>
  <property fmtid="{D5CDD505-2E9C-101B-9397-08002B2CF9AE}" pid="3" name="MediaServiceImageTags">
    <vt:lpwstr/>
  </property>
</Properties>
</file>